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 tabRatio="692"/>
  </bookViews>
  <sheets>
    <sheet name="Orçamento_Janeiro" sheetId="1" r:id="rId1"/>
    <sheet name="Orçamento_Fevereiro" sheetId="4" r:id="rId2"/>
    <sheet name="Orçamento_Março" sheetId="5" r:id="rId3"/>
    <sheet name="Total_Geral_Trimestral" sheetId="2" r:id="rId4"/>
    <sheet name="Plan3" sheetId="3" r:id="rId5"/>
  </sheets>
  <definedNames>
    <definedName name="_xlnm._FilterDatabase" localSheetId="3" hidden="1">Total_Geral_Trimestral!$A$1:$F$1</definedName>
  </definedNames>
  <calcPr calcId="144525"/>
</workbook>
</file>

<file path=xl/calcChain.xml><?xml version="1.0" encoding="utf-8"?>
<calcChain xmlns="http://schemas.openxmlformats.org/spreadsheetml/2006/main">
  <c r="D4" i="2" l="1"/>
  <c r="D5" i="2"/>
  <c r="D3" i="2"/>
  <c r="D9" i="2"/>
  <c r="D8" i="2"/>
  <c r="D2" i="2"/>
  <c r="D7" i="2"/>
  <c r="D6" i="2"/>
  <c r="C4" i="2"/>
  <c r="C5" i="2"/>
  <c r="C3" i="2"/>
  <c r="C9" i="2"/>
  <c r="C8" i="2"/>
  <c r="C2" i="2"/>
  <c r="C7" i="2"/>
  <c r="C6" i="2"/>
  <c r="X17" i="5"/>
  <c r="U17" i="5"/>
  <c r="R17" i="5"/>
  <c r="O17" i="5"/>
  <c r="L17" i="5"/>
  <c r="I17" i="5"/>
  <c r="F17" i="5"/>
  <c r="C17" i="5"/>
  <c r="X17" i="4"/>
  <c r="U17" i="4"/>
  <c r="R17" i="4"/>
  <c r="O17" i="4"/>
  <c r="L17" i="4"/>
  <c r="I17" i="4"/>
  <c r="F17" i="4"/>
  <c r="C17" i="4"/>
  <c r="D10" i="2" l="1"/>
  <c r="C10" i="2"/>
  <c r="C3" i="5"/>
  <c r="C4" i="5" s="1"/>
  <c r="C3" i="4"/>
  <c r="C4" i="4" s="1"/>
  <c r="X17" i="1" l="1"/>
  <c r="U17" i="1"/>
  <c r="R17" i="1"/>
  <c r="O17" i="1"/>
  <c r="L17" i="1"/>
  <c r="I17" i="1"/>
  <c r="F17" i="1"/>
  <c r="C17" i="1"/>
  <c r="C26" i="1" l="1"/>
  <c r="B9" i="2"/>
  <c r="C27" i="1"/>
  <c r="B3" i="2"/>
  <c r="B6" i="2"/>
  <c r="C22" i="1"/>
  <c r="C23" i="1"/>
  <c r="B7" i="2"/>
  <c r="C28" i="1"/>
  <c r="B5" i="2"/>
  <c r="C24" i="1"/>
  <c r="B2" i="2"/>
  <c r="C29" i="1"/>
  <c r="B4" i="2"/>
  <c r="C25" i="1"/>
  <c r="B8" i="2"/>
  <c r="C3" i="1"/>
  <c r="C4" i="1" s="1"/>
  <c r="E3" i="2" l="1"/>
  <c r="F3" i="2"/>
  <c r="F8" i="2"/>
  <c r="E8" i="2"/>
  <c r="F7" i="2"/>
  <c r="E7" i="2"/>
  <c r="E6" i="2"/>
  <c r="F6" i="2"/>
  <c r="F2" i="2"/>
  <c r="B10" i="2"/>
  <c r="E10" i="2" s="1"/>
  <c r="E2" i="2"/>
  <c r="E4" i="2"/>
  <c r="F4" i="2"/>
  <c r="E5" i="2"/>
  <c r="F5" i="2"/>
  <c r="E9" i="2"/>
  <c r="F9" i="2"/>
  <c r="F10" i="2" l="1"/>
  <c r="F12" i="2" s="1"/>
  <c r="F11" i="2"/>
</calcChain>
</file>

<file path=xl/comments1.xml><?xml version="1.0" encoding="utf-8"?>
<comments xmlns="http://schemas.openxmlformats.org/spreadsheetml/2006/main">
  <authors>
    <author>Usuario</author>
  </authors>
  <commentList>
    <comment ref="C4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AZUL POSITIVO
VERMELHO NEGATIVO</t>
        </r>
      </text>
    </comment>
  </commentList>
</comments>
</file>

<file path=xl/comments2.xml><?xml version="1.0" encoding="utf-8"?>
<comments xmlns="http://schemas.openxmlformats.org/spreadsheetml/2006/main">
  <authors>
    <author>Usuario</author>
  </authors>
  <commentList>
    <comment ref="C4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AZUL POSITIVO
VERMELHO NEGATIVO</t>
        </r>
      </text>
    </comment>
  </commentList>
</comments>
</file>

<file path=xl/comments3.xml><?xml version="1.0" encoding="utf-8"?>
<comments xmlns="http://schemas.openxmlformats.org/spreadsheetml/2006/main">
  <authors>
    <author>Usuario</author>
  </authors>
  <commentList>
    <comment ref="C4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AZUL POSITIVO
VERMELHO NEGATIVO</t>
        </r>
      </text>
    </comment>
  </commentList>
</comments>
</file>

<file path=xl/sharedStrings.xml><?xml version="1.0" encoding="utf-8"?>
<sst xmlns="http://schemas.openxmlformats.org/spreadsheetml/2006/main" count="190" uniqueCount="49">
  <si>
    <t>Moradia</t>
  </si>
  <si>
    <t>Aluguel</t>
  </si>
  <si>
    <t>Condomínio</t>
  </si>
  <si>
    <t>Celular</t>
  </si>
  <si>
    <t>Luz</t>
  </si>
  <si>
    <t>Gás</t>
  </si>
  <si>
    <t>Água/esgoto</t>
  </si>
  <si>
    <t>Internet</t>
  </si>
  <si>
    <t>Serviços de Streaming</t>
  </si>
  <si>
    <t>IPTU</t>
  </si>
  <si>
    <t>SUBTOTAL</t>
  </si>
  <si>
    <t>Saúde</t>
  </si>
  <si>
    <t>Remédios</t>
  </si>
  <si>
    <t>Plano de Saúde</t>
  </si>
  <si>
    <t>Consulta médica</t>
  </si>
  <si>
    <t>Exame</t>
  </si>
  <si>
    <t>Dentista</t>
  </si>
  <si>
    <t>Supermercado</t>
  </si>
  <si>
    <t>Feira</t>
  </si>
  <si>
    <t>Açougue</t>
  </si>
  <si>
    <t>Alimentação</t>
  </si>
  <si>
    <t>Transporte</t>
  </si>
  <si>
    <t>Transporte Público</t>
  </si>
  <si>
    <t>Carro/Combustível</t>
  </si>
  <si>
    <t>IPVA</t>
  </si>
  <si>
    <t>Vestuário</t>
  </si>
  <si>
    <t>Roupas</t>
  </si>
  <si>
    <t>Calçados</t>
  </si>
  <si>
    <t>Educação</t>
  </si>
  <si>
    <t>Mensalidade/Universidade</t>
  </si>
  <si>
    <t>Material Escolar</t>
  </si>
  <si>
    <t>Lazer</t>
  </si>
  <si>
    <t>Passeios</t>
  </si>
  <si>
    <t>Viagens</t>
  </si>
  <si>
    <t>Investimento</t>
  </si>
  <si>
    <t>Poupança</t>
  </si>
  <si>
    <t>Custo</t>
  </si>
  <si>
    <t>RENDA FAMILIAR</t>
  </si>
  <si>
    <t>GASTOS TOTAIS</t>
  </si>
  <si>
    <t>SALDO DO MÊS</t>
  </si>
  <si>
    <t>Categoria</t>
  </si>
  <si>
    <t>JANEIRO</t>
  </si>
  <si>
    <t>FEVEREIRO</t>
  </si>
  <si>
    <t>MARÇO</t>
  </si>
  <si>
    <t>Investimentos</t>
  </si>
  <si>
    <t>TOTAL GERAL</t>
  </si>
  <si>
    <t>MÉDIA GERAL</t>
  </si>
  <si>
    <t>ORÇAMENTO DOMÉSTICO</t>
  </si>
  <si>
    <t>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</si>
</sst>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1"/>
      <color rgb="FF534D2F"/>
      <name val="Calibri"/>
      <family val="2"/>
      <scheme val="minor"/>
    </font>
    <font>
      <sz val="12"/>
      <color rgb="FF534D2F"/>
      <name val="Arial"/>
      <family val="2"/>
    </font>
    <font>
      <b/>
      <sz val="22"/>
      <color theme="6" tint="-0.499984740745262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6" tint="0.39997558519241921"/>
      </left>
      <right style="medium">
        <color theme="6" tint="0.39997558519241921"/>
      </right>
      <top style="medium">
        <color theme="6" tint="0.39997558519241921"/>
      </top>
      <bottom style="medium">
        <color theme="6" tint="0.39997558519241921"/>
      </bottom>
      <diagonal/>
    </border>
    <border>
      <left style="medium">
        <color theme="6" tint="0.39997558519241921"/>
      </left>
      <right style="thin">
        <color theme="6" tint="-0.249977111117893"/>
      </right>
      <top/>
      <bottom style="medium">
        <color theme="6" tint="0.39997558519241921"/>
      </bottom>
      <diagonal/>
    </border>
    <border>
      <left style="thin">
        <color theme="6" tint="-0.249977111117893"/>
      </left>
      <right style="medium">
        <color theme="6" tint="0.39997558519241921"/>
      </right>
      <top/>
      <bottom style="medium">
        <color theme="6" tint="0.39997558519241921"/>
      </bottom>
      <diagonal/>
    </border>
    <border>
      <left style="medium">
        <color theme="6" tint="0.39997558519241921"/>
      </left>
      <right style="medium">
        <color theme="6" tint="0.39997558519241921"/>
      </right>
      <top/>
      <bottom style="medium">
        <color theme="6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  <xf numFmtId="0" fontId="4" fillId="0" borderId="0" xfId="0" applyFont="1" applyBorder="1"/>
    <xf numFmtId="0" fontId="5" fillId="0" borderId="0" xfId="0" applyFont="1" applyBorder="1"/>
    <xf numFmtId="0" fontId="5" fillId="0" borderId="0" xfId="0" applyFont="1"/>
    <xf numFmtId="0" fontId="1" fillId="3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6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44" fontId="2" fillId="4" borderId="0" xfId="1" applyFont="1" applyFill="1"/>
    <xf numFmtId="44" fontId="5" fillId="0" borderId="0" xfId="1" applyFont="1"/>
    <xf numFmtId="44" fontId="5" fillId="0" borderId="0" xfId="1" applyNumberFormat="1" applyFont="1" applyBorder="1"/>
    <xf numFmtId="44" fontId="2" fillId="4" borderId="0" xfId="1" applyNumberFormat="1" applyFont="1" applyFill="1"/>
    <xf numFmtId="44" fontId="0" fillId="0" borderId="0" xfId="0" applyNumberFormat="1"/>
    <xf numFmtId="0" fontId="0" fillId="0" borderId="3" xfId="0" applyBorder="1"/>
    <xf numFmtId="0" fontId="0" fillId="0" borderId="4" xfId="0" applyBorder="1"/>
    <xf numFmtId="44" fontId="8" fillId="0" borderId="3" xfId="1" applyFont="1" applyBorder="1"/>
    <xf numFmtId="44" fontId="8" fillId="0" borderId="6" xfId="0" applyNumberFormat="1" applyFont="1" applyBorder="1"/>
    <xf numFmtId="44" fontId="8" fillId="0" borderId="5" xfId="0" applyNumberFormat="1" applyFont="1" applyBorder="1"/>
    <xf numFmtId="44" fontId="11" fillId="0" borderId="0" xfId="1" applyFont="1" applyAlignment="1">
      <alignment horizontal="right"/>
    </xf>
    <xf numFmtId="44" fontId="13" fillId="0" borderId="1" xfId="0" applyNumberFormat="1" applyFont="1" applyBorder="1"/>
    <xf numFmtId="44" fontId="12" fillId="2" borderId="1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0" borderId="1" xfId="0" applyFont="1" applyBorder="1"/>
    <xf numFmtId="44" fontId="2" fillId="0" borderId="1" xfId="0" applyNumberFormat="1" applyFont="1" applyBorder="1"/>
    <xf numFmtId="44" fontId="2" fillId="0" borderId="9" xfId="0" applyNumberFormat="1" applyFont="1" applyBorder="1"/>
    <xf numFmtId="44" fontId="2" fillId="0" borderId="2" xfId="0" applyNumberFormat="1" applyFont="1" applyBorder="1"/>
    <xf numFmtId="0" fontId="2" fillId="0" borderId="9" xfId="0" applyFont="1" applyBorder="1"/>
    <xf numFmtId="44" fontId="2" fillId="0" borderId="11" xfId="0" applyNumberFormat="1" applyFont="1" applyBorder="1"/>
    <xf numFmtId="44" fontId="2" fillId="0" borderId="7" xfId="0" applyNumberFormat="1" applyFont="1" applyBorder="1"/>
    <xf numFmtId="44" fontId="2" fillId="0" borderId="8" xfId="0" applyNumberFormat="1" applyFont="1" applyBorder="1"/>
    <xf numFmtId="0" fontId="2" fillId="0" borderId="10" xfId="0" applyFont="1" applyBorder="1"/>
    <xf numFmtId="0" fontId="1" fillId="2" borderId="9" xfId="0" applyFont="1" applyFill="1" applyBorder="1"/>
    <xf numFmtId="44" fontId="1" fillId="2" borderId="1" xfId="0" applyNumberFormat="1" applyFont="1" applyFill="1" applyBorder="1"/>
    <xf numFmtId="44" fontId="1" fillId="2" borderId="2" xfId="0" applyNumberFormat="1" applyFont="1" applyFill="1" applyBorder="1"/>
    <xf numFmtId="44" fontId="1" fillId="2" borderId="8" xfId="0" applyNumberFormat="1" applyFont="1" applyFill="1" applyBorder="1"/>
    <xf numFmtId="0" fontId="11" fillId="0" borderId="0" xfId="0" applyFont="1"/>
    <xf numFmtId="0" fontId="3" fillId="2" borderId="0" xfId="0" applyFont="1" applyFill="1" applyBorder="1" applyAlignment="1">
      <alignment horizontal="center"/>
    </xf>
    <xf numFmtId="44" fontId="11" fillId="0" borderId="0" xfId="1" applyFont="1"/>
  </cellXfs>
  <cellStyles count="2">
    <cellStyle name="Moeda" xfId="1" builtinId="4"/>
    <cellStyle name="Normal" xfId="0" builtinId="0"/>
  </cellStyles>
  <dxfs count="6">
    <dxf>
      <font>
        <u val="none"/>
        <color theme="3" tint="0.39991454817346722"/>
      </font>
    </dxf>
    <dxf>
      <font>
        <color rgb="FFFF0000"/>
      </font>
    </dxf>
    <dxf>
      <font>
        <u val="none"/>
        <color theme="3" tint="0.39991454817346722"/>
      </font>
    </dxf>
    <dxf>
      <font>
        <color rgb="FFFF0000"/>
      </font>
    </dxf>
    <dxf>
      <font>
        <u val="none"/>
        <color theme="3" tint="0.39991454817346722"/>
      </font>
    </dxf>
    <dxf>
      <font>
        <color rgb="FFFF0000"/>
      </font>
    </dxf>
  </dxfs>
  <tableStyles count="0" defaultTableStyle="TableStyleMedium2" defaultPivotStyle="PivotStyleLight16"/>
  <colors>
    <mruColors>
      <color rgb="FF534D2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40"/>
  <sheetViews>
    <sheetView tabSelected="1" zoomScale="70" zoomScaleNormal="70" workbookViewId="0">
      <selection activeCell="C36" sqref="C36"/>
    </sheetView>
  </sheetViews>
  <sheetFormatPr defaultRowHeight="14.4" x14ac:dyDescent="0.3"/>
  <cols>
    <col min="2" max="2" width="30.109375" bestFit="1" customWidth="1"/>
    <col min="3" max="3" width="13.5546875" bestFit="1" customWidth="1"/>
    <col min="5" max="5" width="17.77734375" bestFit="1" customWidth="1"/>
    <col min="6" max="6" width="10.5546875" bestFit="1" customWidth="1"/>
    <col min="8" max="8" width="15.77734375" bestFit="1" customWidth="1"/>
    <col min="9" max="9" width="10.5546875" bestFit="1" customWidth="1"/>
    <col min="11" max="11" width="19.6640625" bestFit="1" customWidth="1"/>
    <col min="12" max="12" width="10.5546875" bestFit="1" customWidth="1"/>
    <col min="14" max="14" width="15.109375" bestFit="1" customWidth="1"/>
    <col min="15" max="15" width="10.5546875" bestFit="1" customWidth="1"/>
    <col min="17" max="17" width="27.6640625" bestFit="1" customWidth="1"/>
    <col min="18" max="18" width="13" bestFit="1" customWidth="1"/>
    <col min="20" max="20" width="15.109375" bestFit="1" customWidth="1"/>
    <col min="21" max="21" width="10.5546875" bestFit="1" customWidth="1"/>
    <col min="23" max="23" width="15" bestFit="1" customWidth="1"/>
    <col min="24" max="24" width="10.5546875" bestFit="1" customWidth="1"/>
  </cols>
  <sheetData>
    <row r="1" spans="1:30" ht="28.8" thickBot="1" x14ac:dyDescent="0.55000000000000004">
      <c r="A1" s="9" t="s">
        <v>47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30" ht="15" thickBot="1" x14ac:dyDescent="0.35">
      <c r="B2" s="19" t="s">
        <v>37</v>
      </c>
      <c r="C2" s="21">
        <v>5500</v>
      </c>
    </row>
    <row r="3" spans="1:30" ht="15" thickBot="1" x14ac:dyDescent="0.35">
      <c r="B3" s="19" t="s">
        <v>38</v>
      </c>
      <c r="C3" s="22">
        <f>SUM(C17,F17,I17,L17,O17,R17,U17,X17)</f>
        <v>5120</v>
      </c>
    </row>
    <row r="4" spans="1:30" ht="15" thickBot="1" x14ac:dyDescent="0.35">
      <c r="B4" s="20" t="s">
        <v>39</v>
      </c>
      <c r="C4" s="23">
        <f>C2-C3</f>
        <v>380</v>
      </c>
    </row>
    <row r="6" spans="1:30" ht="15.6" x14ac:dyDescent="0.3">
      <c r="A6" s="10" t="s">
        <v>0</v>
      </c>
      <c r="B6" s="10"/>
      <c r="C6" s="10"/>
      <c r="D6" s="11" t="s">
        <v>11</v>
      </c>
      <c r="E6" s="11"/>
      <c r="F6" s="11"/>
      <c r="G6" s="12" t="s">
        <v>20</v>
      </c>
      <c r="H6" s="12"/>
      <c r="I6" s="12"/>
      <c r="J6" s="13" t="s">
        <v>21</v>
      </c>
      <c r="K6" s="13"/>
      <c r="L6" s="13"/>
      <c r="M6" s="10" t="s">
        <v>25</v>
      </c>
      <c r="N6" s="10"/>
      <c r="O6" s="10"/>
      <c r="P6" s="13" t="s">
        <v>28</v>
      </c>
      <c r="Q6" s="13"/>
      <c r="R6" s="13"/>
      <c r="S6" s="10" t="s">
        <v>31</v>
      </c>
      <c r="T6" s="10"/>
      <c r="U6" s="10"/>
      <c r="V6" s="13" t="s">
        <v>34</v>
      </c>
      <c r="W6" s="13"/>
      <c r="X6" s="13"/>
      <c r="Y6" s="2"/>
      <c r="Z6" s="2"/>
      <c r="AA6" s="2"/>
      <c r="AB6" s="2"/>
      <c r="AC6" s="2"/>
      <c r="AD6" s="2"/>
    </row>
    <row r="7" spans="1:30" ht="15.6" x14ac:dyDescent="0.3">
      <c r="A7" s="7" t="s">
        <v>36</v>
      </c>
      <c r="B7" s="7"/>
      <c r="C7" s="7"/>
      <c r="D7" s="8" t="s">
        <v>36</v>
      </c>
      <c r="E7" s="8"/>
      <c r="F7" s="8"/>
      <c r="G7" s="7" t="s">
        <v>36</v>
      </c>
      <c r="H7" s="7"/>
      <c r="I7" s="7"/>
      <c r="J7" s="8" t="s">
        <v>36</v>
      </c>
      <c r="K7" s="8"/>
      <c r="L7" s="8"/>
      <c r="M7" s="7" t="s">
        <v>36</v>
      </c>
      <c r="N7" s="7"/>
      <c r="O7" s="7"/>
      <c r="P7" s="8" t="s">
        <v>36</v>
      </c>
      <c r="Q7" s="8"/>
      <c r="R7" s="8"/>
      <c r="S7" s="7" t="s">
        <v>36</v>
      </c>
      <c r="T7" s="7"/>
      <c r="U7" s="7"/>
      <c r="V7" s="8" t="s">
        <v>36</v>
      </c>
      <c r="W7" s="8"/>
      <c r="X7" s="8"/>
      <c r="Y7" s="2"/>
      <c r="Z7" s="2"/>
      <c r="AA7" s="2"/>
      <c r="AB7" s="2"/>
      <c r="AC7" s="2"/>
      <c r="AD7" s="2"/>
    </row>
    <row r="8" spans="1:30" ht="15.6" x14ac:dyDescent="0.3">
      <c r="A8" s="4">
        <v>1</v>
      </c>
      <c r="B8" s="5" t="s">
        <v>1</v>
      </c>
      <c r="C8" s="16">
        <v>900</v>
      </c>
      <c r="D8" s="4">
        <v>1</v>
      </c>
      <c r="E8" s="6" t="s">
        <v>12</v>
      </c>
      <c r="F8" s="15">
        <v>200</v>
      </c>
      <c r="G8" s="4">
        <v>1</v>
      </c>
      <c r="H8" s="6" t="s">
        <v>17</v>
      </c>
      <c r="I8" s="15">
        <v>700</v>
      </c>
      <c r="J8" s="4">
        <v>1</v>
      </c>
      <c r="K8" s="6" t="s">
        <v>22</v>
      </c>
      <c r="L8" s="15"/>
      <c r="M8" s="6">
        <v>1</v>
      </c>
      <c r="N8" s="6" t="s">
        <v>26</v>
      </c>
      <c r="O8" s="15">
        <v>200</v>
      </c>
      <c r="P8" s="6">
        <v>1</v>
      </c>
      <c r="Q8" s="6" t="s">
        <v>29</v>
      </c>
      <c r="R8" s="15">
        <v>1000</v>
      </c>
      <c r="S8" s="6">
        <v>1</v>
      </c>
      <c r="T8" s="6" t="s">
        <v>32</v>
      </c>
      <c r="U8" s="15">
        <v>150</v>
      </c>
      <c r="V8" s="6">
        <v>1</v>
      </c>
      <c r="W8" s="6" t="s">
        <v>35</v>
      </c>
      <c r="X8" s="15">
        <v>100</v>
      </c>
      <c r="Y8" s="2"/>
      <c r="Z8" s="2"/>
      <c r="AA8" s="2"/>
      <c r="AB8" s="2"/>
      <c r="AC8" s="2"/>
      <c r="AD8" s="2"/>
    </row>
    <row r="9" spans="1:30" ht="15.6" x14ac:dyDescent="0.3">
      <c r="A9" s="4">
        <v>2</v>
      </c>
      <c r="B9" s="5" t="s">
        <v>2</v>
      </c>
      <c r="C9" s="16">
        <v>0</v>
      </c>
      <c r="D9" s="4">
        <v>2</v>
      </c>
      <c r="E9" s="6" t="s">
        <v>13</v>
      </c>
      <c r="F9" s="15"/>
      <c r="G9" s="4">
        <v>2</v>
      </c>
      <c r="H9" s="6" t="s">
        <v>18</v>
      </c>
      <c r="I9" s="15">
        <v>150</v>
      </c>
      <c r="J9" s="4">
        <v>2</v>
      </c>
      <c r="K9" s="6" t="s">
        <v>23</v>
      </c>
      <c r="L9" s="15">
        <v>270</v>
      </c>
      <c r="M9" s="6">
        <v>2</v>
      </c>
      <c r="N9" s="6" t="s">
        <v>27</v>
      </c>
      <c r="O9" s="15">
        <v>200</v>
      </c>
      <c r="P9" s="6">
        <v>2</v>
      </c>
      <c r="Q9" s="6" t="s">
        <v>30</v>
      </c>
      <c r="R9" s="15">
        <v>500</v>
      </c>
      <c r="S9" s="6">
        <v>2</v>
      </c>
      <c r="T9" s="6" t="s">
        <v>33</v>
      </c>
      <c r="U9" s="15"/>
      <c r="V9" s="6"/>
      <c r="W9" s="6"/>
      <c r="X9" s="15"/>
      <c r="Y9" s="2"/>
      <c r="Z9" s="2"/>
      <c r="AA9" s="2"/>
      <c r="AB9" s="2"/>
      <c r="AC9" s="2"/>
      <c r="AD9" s="2"/>
    </row>
    <row r="10" spans="1:30" ht="15.6" x14ac:dyDescent="0.3">
      <c r="A10" s="4">
        <v>3</v>
      </c>
      <c r="B10" s="5" t="s">
        <v>3</v>
      </c>
      <c r="C10" s="16">
        <v>80</v>
      </c>
      <c r="D10" s="4">
        <v>3</v>
      </c>
      <c r="E10" s="6" t="s">
        <v>14</v>
      </c>
      <c r="F10" s="15"/>
      <c r="G10" s="4">
        <v>3</v>
      </c>
      <c r="H10" s="6" t="s">
        <v>19</v>
      </c>
      <c r="I10" s="15"/>
      <c r="J10" s="4">
        <v>3</v>
      </c>
      <c r="K10" s="6" t="s">
        <v>24</v>
      </c>
      <c r="L10" s="15"/>
      <c r="M10" s="6"/>
      <c r="N10" s="6"/>
      <c r="O10" s="15"/>
      <c r="P10" s="6"/>
      <c r="Q10" s="6"/>
      <c r="R10" s="15"/>
      <c r="S10" s="6"/>
      <c r="T10" s="6"/>
      <c r="U10" s="15"/>
      <c r="V10" s="6"/>
      <c r="W10" s="6"/>
      <c r="X10" s="15"/>
      <c r="Y10" s="2"/>
      <c r="Z10" s="2"/>
      <c r="AA10" s="2"/>
      <c r="AB10" s="2"/>
      <c r="AC10" s="2"/>
      <c r="AD10" s="2"/>
    </row>
    <row r="11" spans="1:30" ht="15.6" x14ac:dyDescent="0.3">
      <c r="A11" s="4">
        <v>4</v>
      </c>
      <c r="B11" s="5" t="s">
        <v>4</v>
      </c>
      <c r="C11" s="16">
        <v>120</v>
      </c>
      <c r="D11" s="4">
        <v>4</v>
      </c>
      <c r="E11" s="6" t="s">
        <v>15</v>
      </c>
      <c r="F11" s="15"/>
      <c r="G11" s="6"/>
      <c r="H11" s="6"/>
      <c r="I11" s="15"/>
      <c r="J11" s="6"/>
      <c r="K11" s="6"/>
      <c r="L11" s="15"/>
      <c r="M11" s="6"/>
      <c r="N11" s="6"/>
      <c r="O11" s="15"/>
      <c r="P11" s="6"/>
      <c r="Q11" s="6"/>
      <c r="R11" s="15"/>
      <c r="S11" s="6"/>
      <c r="T11" s="6"/>
      <c r="U11" s="15"/>
      <c r="V11" s="6"/>
      <c r="W11" s="6"/>
      <c r="X11" s="15"/>
      <c r="Y11" s="2"/>
      <c r="Z11" s="2"/>
      <c r="AA11" s="2"/>
      <c r="AB11" s="2"/>
      <c r="AC11" s="2"/>
      <c r="AD11" s="2"/>
    </row>
    <row r="12" spans="1:30" ht="15.6" x14ac:dyDescent="0.3">
      <c r="A12" s="4">
        <v>5</v>
      </c>
      <c r="B12" s="5" t="s">
        <v>5</v>
      </c>
      <c r="C12" s="16">
        <v>110</v>
      </c>
      <c r="D12" s="4">
        <v>5</v>
      </c>
      <c r="E12" s="6" t="s">
        <v>16</v>
      </c>
      <c r="F12" s="15"/>
      <c r="G12" s="6"/>
      <c r="H12" s="6"/>
      <c r="I12" s="15"/>
      <c r="J12" s="6"/>
      <c r="K12" s="6"/>
      <c r="L12" s="15"/>
      <c r="M12" s="6"/>
      <c r="N12" s="6"/>
      <c r="O12" s="15"/>
      <c r="P12" s="6"/>
      <c r="Q12" s="6"/>
      <c r="R12" s="15"/>
      <c r="S12" s="6"/>
      <c r="T12" s="6"/>
      <c r="U12" s="15"/>
      <c r="V12" s="6"/>
      <c r="W12" s="6"/>
      <c r="X12" s="15"/>
      <c r="Y12" s="2"/>
      <c r="Z12" s="2"/>
      <c r="AA12" s="2"/>
      <c r="AB12" s="2"/>
      <c r="AC12" s="2"/>
      <c r="AD12" s="2"/>
    </row>
    <row r="13" spans="1:30" ht="15.6" x14ac:dyDescent="0.3">
      <c r="A13" s="4">
        <v>6</v>
      </c>
      <c r="B13" s="5" t="s">
        <v>6</v>
      </c>
      <c r="C13" s="16">
        <v>80</v>
      </c>
      <c r="D13" s="5"/>
      <c r="E13" s="6"/>
      <c r="F13" s="15"/>
      <c r="G13" s="6"/>
      <c r="H13" s="6"/>
      <c r="I13" s="15"/>
      <c r="J13" s="6"/>
      <c r="K13" s="6"/>
      <c r="L13" s="15"/>
      <c r="M13" s="6"/>
      <c r="N13" s="6"/>
      <c r="O13" s="15"/>
      <c r="P13" s="6"/>
      <c r="Q13" s="6"/>
      <c r="R13" s="15"/>
      <c r="S13" s="6"/>
      <c r="T13" s="6"/>
      <c r="U13" s="15"/>
      <c r="V13" s="6"/>
      <c r="W13" s="6"/>
      <c r="X13" s="15"/>
      <c r="Y13" s="2"/>
      <c r="Z13" s="2"/>
      <c r="AA13" s="2"/>
      <c r="AB13" s="2"/>
      <c r="AC13" s="2"/>
      <c r="AD13" s="2"/>
    </row>
    <row r="14" spans="1:30" ht="15.6" x14ac:dyDescent="0.3">
      <c r="A14" s="4">
        <v>7</v>
      </c>
      <c r="B14" s="5" t="s">
        <v>7</v>
      </c>
      <c r="C14" s="16">
        <v>100</v>
      </c>
      <c r="D14" s="5"/>
      <c r="E14" s="6"/>
      <c r="F14" s="15"/>
      <c r="G14" s="6"/>
      <c r="H14" s="6"/>
      <c r="I14" s="15"/>
      <c r="J14" s="6"/>
      <c r="K14" s="6"/>
      <c r="L14" s="15"/>
      <c r="M14" s="6"/>
      <c r="N14" s="6"/>
      <c r="O14" s="15"/>
      <c r="P14" s="6"/>
      <c r="Q14" s="6"/>
      <c r="R14" s="15"/>
      <c r="S14" s="6"/>
      <c r="T14" s="6"/>
      <c r="U14" s="15"/>
      <c r="V14" s="6"/>
      <c r="W14" s="6"/>
      <c r="X14" s="15"/>
      <c r="Y14" s="2"/>
      <c r="Z14" s="2"/>
      <c r="AA14" s="2"/>
      <c r="AB14" s="2"/>
      <c r="AC14" s="2"/>
      <c r="AD14" s="2"/>
    </row>
    <row r="15" spans="1:30" ht="15.6" x14ac:dyDescent="0.3">
      <c r="A15" s="4">
        <v>8</v>
      </c>
      <c r="B15" s="5" t="s">
        <v>8</v>
      </c>
      <c r="C15" s="16">
        <v>60</v>
      </c>
      <c r="D15" s="5"/>
      <c r="E15" s="6"/>
      <c r="F15" s="15"/>
      <c r="G15" s="6"/>
      <c r="H15" s="6"/>
      <c r="I15" s="15"/>
      <c r="J15" s="6"/>
      <c r="K15" s="6"/>
      <c r="L15" s="15"/>
      <c r="M15" s="6"/>
      <c r="N15" s="6"/>
      <c r="O15" s="15"/>
      <c r="P15" s="6"/>
      <c r="Q15" s="6"/>
      <c r="R15" s="15"/>
      <c r="S15" s="6"/>
      <c r="T15" s="6"/>
      <c r="U15" s="15"/>
      <c r="V15" s="6"/>
      <c r="W15" s="6"/>
      <c r="X15" s="15"/>
      <c r="Y15" s="2"/>
      <c r="Z15" s="2"/>
      <c r="AA15" s="2"/>
      <c r="AB15" s="2"/>
      <c r="AC15" s="2"/>
      <c r="AD15" s="2"/>
    </row>
    <row r="16" spans="1:30" ht="15.6" x14ac:dyDescent="0.3">
      <c r="A16" s="4">
        <v>9</v>
      </c>
      <c r="B16" s="5" t="s">
        <v>9</v>
      </c>
      <c r="C16" s="16">
        <v>200</v>
      </c>
      <c r="D16" s="5"/>
      <c r="E16" s="6"/>
      <c r="F16" s="15"/>
      <c r="G16" s="6"/>
      <c r="H16" s="6"/>
      <c r="I16" s="15"/>
      <c r="J16" s="6"/>
      <c r="K16" s="6"/>
      <c r="L16" s="15"/>
      <c r="M16" s="6"/>
      <c r="N16" s="6"/>
      <c r="O16" s="15"/>
      <c r="P16" s="6"/>
      <c r="Q16" s="6"/>
      <c r="R16" s="15"/>
      <c r="S16" s="6"/>
      <c r="T16" s="6"/>
      <c r="U16" s="15"/>
      <c r="V16" s="6"/>
      <c r="W16" s="6"/>
      <c r="X16" s="15"/>
      <c r="Y16" s="2"/>
      <c r="Z16" s="2"/>
      <c r="AA16" s="2"/>
      <c r="AB16" s="2"/>
      <c r="AC16" s="2"/>
      <c r="AD16" s="2"/>
    </row>
    <row r="17" spans="2:30" ht="15.6" x14ac:dyDescent="0.3">
      <c r="B17" s="1" t="s">
        <v>10</v>
      </c>
      <c r="C17" s="17">
        <f>SUM(C8:C16)</f>
        <v>1650</v>
      </c>
      <c r="D17" s="2"/>
      <c r="E17" s="1" t="s">
        <v>10</v>
      </c>
      <c r="F17" s="14">
        <f>SUM(F8:F16)</f>
        <v>200</v>
      </c>
      <c r="G17" s="2"/>
      <c r="H17" s="1" t="s">
        <v>10</v>
      </c>
      <c r="I17" s="14">
        <f>SUM(I8:I16)</f>
        <v>850</v>
      </c>
      <c r="J17" s="2"/>
      <c r="K17" s="1" t="s">
        <v>10</v>
      </c>
      <c r="L17" s="14">
        <f>SUM(L8:L16)</f>
        <v>270</v>
      </c>
      <c r="M17" s="2"/>
      <c r="N17" s="1" t="s">
        <v>10</v>
      </c>
      <c r="O17" s="14">
        <f>SUM(O8:O16)</f>
        <v>400</v>
      </c>
      <c r="P17" s="2"/>
      <c r="Q17" s="1" t="s">
        <v>10</v>
      </c>
      <c r="R17" s="14">
        <f>SUM(R8:R16)</f>
        <v>1500</v>
      </c>
      <c r="S17" s="2"/>
      <c r="T17" s="1" t="s">
        <v>10</v>
      </c>
      <c r="U17" s="14">
        <f>SUM(U8:U16)</f>
        <v>150</v>
      </c>
      <c r="V17" s="2"/>
      <c r="W17" s="1" t="s">
        <v>10</v>
      </c>
      <c r="X17" s="14">
        <f>SUM(X8:X16)</f>
        <v>100</v>
      </c>
      <c r="Y17" s="2"/>
      <c r="Z17" s="2"/>
      <c r="AA17" s="2"/>
      <c r="AB17" s="2"/>
      <c r="AC17" s="2"/>
      <c r="AD17" s="2"/>
    </row>
    <row r="21" spans="2:30" ht="15.6" x14ac:dyDescent="0.3">
      <c r="B21" s="44" t="s">
        <v>38</v>
      </c>
      <c r="C21" s="44" t="s">
        <v>48</v>
      </c>
    </row>
    <row r="22" spans="2:30" ht="15.6" x14ac:dyDescent="0.3">
      <c r="B22" s="43" t="s">
        <v>0</v>
      </c>
      <c r="C22" s="45">
        <f>C17</f>
        <v>1650</v>
      </c>
    </row>
    <row r="23" spans="2:30" ht="15.6" x14ac:dyDescent="0.3">
      <c r="B23" s="43" t="s">
        <v>11</v>
      </c>
      <c r="C23" s="45">
        <f>F17</f>
        <v>200</v>
      </c>
    </row>
    <row r="24" spans="2:30" ht="15.6" x14ac:dyDescent="0.3">
      <c r="B24" s="43" t="s">
        <v>20</v>
      </c>
      <c r="C24" s="45">
        <f>I17</f>
        <v>850</v>
      </c>
    </row>
    <row r="25" spans="2:30" ht="15.6" x14ac:dyDescent="0.3">
      <c r="B25" s="43" t="s">
        <v>21</v>
      </c>
      <c r="C25" s="45">
        <f>L17</f>
        <v>270</v>
      </c>
    </row>
    <row r="26" spans="2:30" ht="15.6" x14ac:dyDescent="0.3">
      <c r="B26" s="43" t="s">
        <v>25</v>
      </c>
      <c r="C26" s="45">
        <f>O17</f>
        <v>400</v>
      </c>
    </row>
    <row r="27" spans="2:30" ht="15.6" x14ac:dyDescent="0.3">
      <c r="B27" s="43" t="s">
        <v>28</v>
      </c>
      <c r="C27" s="45">
        <f>R17</f>
        <v>1500</v>
      </c>
    </row>
    <row r="28" spans="2:30" ht="15.6" x14ac:dyDescent="0.3">
      <c r="B28" s="43" t="s">
        <v>31</v>
      </c>
      <c r="C28" s="45">
        <f>U17</f>
        <v>150</v>
      </c>
    </row>
    <row r="29" spans="2:30" ht="15.6" x14ac:dyDescent="0.3">
      <c r="B29" s="43" t="s">
        <v>44</v>
      </c>
      <c r="C29" s="45">
        <f>X17</f>
        <v>100</v>
      </c>
    </row>
    <row r="40" spans="2:2" x14ac:dyDescent="0.3">
      <c r="B40" s="3"/>
    </row>
  </sheetData>
  <mergeCells count="17">
    <mergeCell ref="A6:C6"/>
    <mergeCell ref="D6:F6"/>
    <mergeCell ref="G6:I6"/>
    <mergeCell ref="J6:L6"/>
    <mergeCell ref="M6:O6"/>
    <mergeCell ref="P6:R6"/>
    <mergeCell ref="S6:U6"/>
    <mergeCell ref="V6:X6"/>
    <mergeCell ref="A1:X1"/>
    <mergeCell ref="S7:U7"/>
    <mergeCell ref="V7:X7"/>
    <mergeCell ref="A7:C7"/>
    <mergeCell ref="D7:F7"/>
    <mergeCell ref="G7:I7"/>
    <mergeCell ref="J7:L7"/>
    <mergeCell ref="M7:O7"/>
    <mergeCell ref="P7:R7"/>
  </mergeCells>
  <conditionalFormatting sqref="C4">
    <cfRule type="cellIs" dxfId="5" priority="1" operator="lessThanOrEqual">
      <formula>0</formula>
    </cfRule>
    <cfRule type="cellIs" dxfId="4" priority="2" operator="greaterThanOr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40"/>
  <sheetViews>
    <sheetView zoomScale="70" zoomScaleNormal="70" workbookViewId="0">
      <selection sqref="A1:X1"/>
    </sheetView>
  </sheetViews>
  <sheetFormatPr defaultRowHeight="14.4" x14ac:dyDescent="0.3"/>
  <cols>
    <col min="2" max="2" width="30.109375" bestFit="1" customWidth="1"/>
    <col min="3" max="3" width="13" bestFit="1" customWidth="1"/>
    <col min="5" max="5" width="17.77734375" bestFit="1" customWidth="1"/>
    <col min="6" max="6" width="10.5546875" bestFit="1" customWidth="1"/>
    <col min="8" max="8" width="15.77734375" bestFit="1" customWidth="1"/>
    <col min="9" max="9" width="10.5546875" bestFit="1" customWidth="1"/>
    <col min="11" max="11" width="19.6640625" bestFit="1" customWidth="1"/>
    <col min="12" max="12" width="10.5546875" bestFit="1" customWidth="1"/>
    <col min="14" max="14" width="15.109375" bestFit="1" customWidth="1"/>
    <col min="15" max="15" width="10.5546875" bestFit="1" customWidth="1"/>
    <col min="17" max="17" width="27.6640625" bestFit="1" customWidth="1"/>
    <col min="18" max="18" width="13" bestFit="1" customWidth="1"/>
    <col min="20" max="20" width="15.109375" bestFit="1" customWidth="1"/>
    <col min="21" max="21" width="10.5546875" bestFit="1" customWidth="1"/>
    <col min="23" max="23" width="15" bestFit="1" customWidth="1"/>
    <col min="24" max="24" width="10.5546875" bestFit="1" customWidth="1"/>
  </cols>
  <sheetData>
    <row r="1" spans="1:30" ht="28.8" thickBot="1" x14ac:dyDescent="0.55000000000000004">
      <c r="A1" s="9" t="s">
        <v>47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30" ht="15" thickBot="1" x14ac:dyDescent="0.35">
      <c r="B2" s="19" t="s">
        <v>37</v>
      </c>
      <c r="C2" s="21">
        <v>5500</v>
      </c>
    </row>
    <row r="3" spans="1:30" ht="15" thickBot="1" x14ac:dyDescent="0.35">
      <c r="B3" s="19" t="s">
        <v>38</v>
      </c>
      <c r="C3" s="22">
        <f>SUM(C17,F17,I17,L17,O17,R17,U17,X17)</f>
        <v>3850</v>
      </c>
    </row>
    <row r="4" spans="1:30" ht="15" thickBot="1" x14ac:dyDescent="0.35">
      <c r="B4" s="20" t="s">
        <v>39</v>
      </c>
      <c r="C4" s="23">
        <f>C2-C3</f>
        <v>1650</v>
      </c>
    </row>
    <row r="6" spans="1:30" ht="15.6" x14ac:dyDescent="0.3">
      <c r="A6" s="10" t="s">
        <v>0</v>
      </c>
      <c r="B6" s="10"/>
      <c r="C6" s="10"/>
      <c r="D6" s="11" t="s">
        <v>11</v>
      </c>
      <c r="E6" s="11"/>
      <c r="F6" s="11"/>
      <c r="G6" s="12" t="s">
        <v>20</v>
      </c>
      <c r="H6" s="12"/>
      <c r="I6" s="12"/>
      <c r="J6" s="13" t="s">
        <v>21</v>
      </c>
      <c r="K6" s="13"/>
      <c r="L6" s="13"/>
      <c r="M6" s="10" t="s">
        <v>25</v>
      </c>
      <c r="N6" s="10"/>
      <c r="O6" s="10"/>
      <c r="P6" s="13" t="s">
        <v>28</v>
      </c>
      <c r="Q6" s="13"/>
      <c r="R6" s="13"/>
      <c r="S6" s="10" t="s">
        <v>31</v>
      </c>
      <c r="T6" s="10"/>
      <c r="U6" s="10"/>
      <c r="V6" s="13" t="s">
        <v>34</v>
      </c>
      <c r="W6" s="13"/>
      <c r="X6" s="13"/>
      <c r="Y6" s="2"/>
      <c r="Z6" s="2"/>
      <c r="AA6" s="2"/>
      <c r="AB6" s="2"/>
      <c r="AC6" s="2"/>
      <c r="AD6" s="2"/>
    </row>
    <row r="7" spans="1:30" ht="15.6" x14ac:dyDescent="0.3">
      <c r="A7" s="7" t="s">
        <v>36</v>
      </c>
      <c r="B7" s="7"/>
      <c r="C7" s="7"/>
      <c r="D7" s="8" t="s">
        <v>36</v>
      </c>
      <c r="E7" s="8"/>
      <c r="F7" s="8"/>
      <c r="G7" s="7" t="s">
        <v>36</v>
      </c>
      <c r="H7" s="7"/>
      <c r="I7" s="7"/>
      <c r="J7" s="8" t="s">
        <v>36</v>
      </c>
      <c r="K7" s="8"/>
      <c r="L7" s="8"/>
      <c r="M7" s="7" t="s">
        <v>36</v>
      </c>
      <c r="N7" s="7"/>
      <c r="O7" s="7"/>
      <c r="P7" s="8" t="s">
        <v>36</v>
      </c>
      <c r="Q7" s="8"/>
      <c r="R7" s="8"/>
      <c r="S7" s="7" t="s">
        <v>36</v>
      </c>
      <c r="T7" s="7"/>
      <c r="U7" s="7"/>
      <c r="V7" s="8" t="s">
        <v>36</v>
      </c>
      <c r="W7" s="8"/>
      <c r="X7" s="8"/>
      <c r="Y7" s="2"/>
      <c r="Z7" s="2"/>
      <c r="AA7" s="2"/>
      <c r="AB7" s="2"/>
      <c r="AC7" s="2"/>
      <c r="AD7" s="2"/>
    </row>
    <row r="8" spans="1:30" ht="15.6" x14ac:dyDescent="0.3">
      <c r="A8" s="4">
        <v>1</v>
      </c>
      <c r="B8" s="5" t="s">
        <v>1</v>
      </c>
      <c r="C8" s="24">
        <v>900</v>
      </c>
      <c r="D8" s="4">
        <v>1</v>
      </c>
      <c r="E8" s="6" t="s">
        <v>12</v>
      </c>
      <c r="F8" s="15">
        <v>50</v>
      </c>
      <c r="G8" s="4">
        <v>1</v>
      </c>
      <c r="H8" s="6" t="s">
        <v>17</v>
      </c>
      <c r="I8" s="15">
        <v>500</v>
      </c>
      <c r="J8" s="4">
        <v>1</v>
      </c>
      <c r="K8" s="6" t="s">
        <v>22</v>
      </c>
      <c r="L8" s="15"/>
      <c r="M8" s="6">
        <v>1</v>
      </c>
      <c r="N8" s="6" t="s">
        <v>26</v>
      </c>
      <c r="O8" s="15">
        <v>80</v>
      </c>
      <c r="P8" s="6">
        <v>1</v>
      </c>
      <c r="Q8" s="6" t="s">
        <v>29</v>
      </c>
      <c r="R8" s="15">
        <v>1000</v>
      </c>
      <c r="S8" s="6">
        <v>1</v>
      </c>
      <c r="T8" s="6" t="s">
        <v>32</v>
      </c>
      <c r="U8" s="15">
        <v>50</v>
      </c>
      <c r="V8" s="6">
        <v>1</v>
      </c>
      <c r="W8" s="6" t="s">
        <v>35</v>
      </c>
      <c r="X8" s="15">
        <v>100</v>
      </c>
      <c r="Y8" s="2"/>
      <c r="Z8" s="2"/>
      <c r="AA8" s="2"/>
      <c r="AB8" s="2"/>
      <c r="AC8" s="2"/>
      <c r="AD8" s="2"/>
    </row>
    <row r="9" spans="1:30" ht="15.6" x14ac:dyDescent="0.3">
      <c r="A9" s="4">
        <v>2</v>
      </c>
      <c r="B9" s="5" t="s">
        <v>2</v>
      </c>
      <c r="C9" s="24">
        <v>0</v>
      </c>
      <c r="D9" s="4">
        <v>2</v>
      </c>
      <c r="E9" s="6" t="s">
        <v>13</v>
      </c>
      <c r="F9" s="15"/>
      <c r="G9" s="4">
        <v>2</v>
      </c>
      <c r="H9" s="6" t="s">
        <v>18</v>
      </c>
      <c r="I9" s="15">
        <v>150</v>
      </c>
      <c r="J9" s="4">
        <v>2</v>
      </c>
      <c r="K9" s="6" t="s">
        <v>23</v>
      </c>
      <c r="L9" s="15">
        <v>270</v>
      </c>
      <c r="M9" s="6">
        <v>2</v>
      </c>
      <c r="N9" s="6" t="s">
        <v>27</v>
      </c>
      <c r="O9" s="15">
        <v>0</v>
      </c>
      <c r="P9" s="6">
        <v>2</v>
      </c>
      <c r="Q9" s="6" t="s">
        <v>30</v>
      </c>
      <c r="R9" s="15">
        <v>0</v>
      </c>
      <c r="S9" s="6">
        <v>2</v>
      </c>
      <c r="T9" s="6" t="s">
        <v>33</v>
      </c>
      <c r="U9" s="15"/>
      <c r="V9" s="6"/>
      <c r="W9" s="6"/>
      <c r="X9" s="15"/>
      <c r="Y9" s="2"/>
      <c r="Z9" s="2"/>
      <c r="AA9" s="2"/>
      <c r="AB9" s="2"/>
      <c r="AC9" s="2"/>
      <c r="AD9" s="2"/>
    </row>
    <row r="10" spans="1:30" ht="15.6" x14ac:dyDescent="0.3">
      <c r="A10" s="4">
        <v>3</v>
      </c>
      <c r="B10" s="5" t="s">
        <v>3</v>
      </c>
      <c r="C10" s="24">
        <v>80</v>
      </c>
      <c r="D10" s="4">
        <v>3</v>
      </c>
      <c r="E10" s="6" t="s">
        <v>14</v>
      </c>
      <c r="F10" s="15"/>
      <c r="G10" s="4">
        <v>3</v>
      </c>
      <c r="H10" s="6" t="s">
        <v>19</v>
      </c>
      <c r="I10" s="15"/>
      <c r="J10" s="4">
        <v>3</v>
      </c>
      <c r="K10" s="6" t="s">
        <v>24</v>
      </c>
      <c r="L10" s="15"/>
      <c r="M10" s="6"/>
      <c r="N10" s="6"/>
      <c r="O10" s="15"/>
      <c r="P10" s="6"/>
      <c r="Q10" s="6"/>
      <c r="R10" s="15"/>
      <c r="S10" s="6"/>
      <c r="T10" s="6"/>
      <c r="U10" s="15"/>
      <c r="V10" s="6"/>
      <c r="W10" s="6"/>
      <c r="X10" s="15"/>
      <c r="Y10" s="2"/>
      <c r="Z10" s="2"/>
      <c r="AA10" s="2"/>
      <c r="AB10" s="2"/>
      <c r="AC10" s="2"/>
      <c r="AD10" s="2"/>
    </row>
    <row r="11" spans="1:30" ht="15.6" x14ac:dyDescent="0.3">
      <c r="A11" s="4">
        <v>4</v>
      </c>
      <c r="B11" s="5" t="s">
        <v>4</v>
      </c>
      <c r="C11" s="24">
        <v>120</v>
      </c>
      <c r="D11" s="4">
        <v>4</v>
      </c>
      <c r="E11" s="6" t="s">
        <v>15</v>
      </c>
      <c r="F11" s="15"/>
      <c r="G11" s="6"/>
      <c r="H11" s="6"/>
      <c r="I11" s="15"/>
      <c r="J11" s="6"/>
      <c r="K11" s="6"/>
      <c r="L11" s="15"/>
      <c r="M11" s="6"/>
      <c r="N11" s="6"/>
      <c r="O11" s="15"/>
      <c r="P11" s="6"/>
      <c r="Q11" s="6"/>
      <c r="R11" s="15"/>
      <c r="S11" s="6"/>
      <c r="T11" s="6"/>
      <c r="U11" s="15"/>
      <c r="V11" s="6"/>
      <c r="W11" s="6"/>
      <c r="X11" s="15"/>
      <c r="Y11" s="2"/>
      <c r="Z11" s="2"/>
      <c r="AA11" s="2"/>
      <c r="AB11" s="2"/>
      <c r="AC11" s="2"/>
      <c r="AD11" s="2"/>
    </row>
    <row r="12" spans="1:30" ht="15.6" x14ac:dyDescent="0.3">
      <c r="A12" s="4">
        <v>5</v>
      </c>
      <c r="B12" s="5" t="s">
        <v>5</v>
      </c>
      <c r="C12" s="24">
        <v>110</v>
      </c>
      <c r="D12" s="4">
        <v>5</v>
      </c>
      <c r="E12" s="6" t="s">
        <v>16</v>
      </c>
      <c r="F12" s="15"/>
      <c r="G12" s="6"/>
      <c r="H12" s="6"/>
      <c r="I12" s="15"/>
      <c r="J12" s="6"/>
      <c r="K12" s="6"/>
      <c r="L12" s="15"/>
      <c r="M12" s="6"/>
      <c r="N12" s="6"/>
      <c r="O12" s="15"/>
      <c r="P12" s="6"/>
      <c r="Q12" s="6"/>
      <c r="R12" s="15"/>
      <c r="S12" s="6"/>
      <c r="T12" s="6"/>
      <c r="U12" s="15"/>
      <c r="V12" s="6"/>
      <c r="W12" s="6"/>
      <c r="X12" s="15"/>
      <c r="Y12" s="2"/>
      <c r="Z12" s="2"/>
      <c r="AA12" s="2"/>
      <c r="AB12" s="2"/>
      <c r="AC12" s="2"/>
      <c r="AD12" s="2"/>
    </row>
    <row r="13" spans="1:30" ht="15.6" x14ac:dyDescent="0.3">
      <c r="A13" s="4">
        <v>6</v>
      </c>
      <c r="B13" s="5" t="s">
        <v>6</v>
      </c>
      <c r="C13" s="24">
        <v>80</v>
      </c>
      <c r="D13" s="5"/>
      <c r="E13" s="6"/>
      <c r="F13" s="15"/>
      <c r="G13" s="6"/>
      <c r="H13" s="6"/>
      <c r="I13" s="15"/>
      <c r="J13" s="6"/>
      <c r="K13" s="6"/>
      <c r="L13" s="15"/>
      <c r="M13" s="6"/>
      <c r="N13" s="6"/>
      <c r="O13" s="15"/>
      <c r="P13" s="6"/>
      <c r="Q13" s="6"/>
      <c r="R13" s="15"/>
      <c r="S13" s="6"/>
      <c r="T13" s="6"/>
      <c r="U13" s="15"/>
      <c r="V13" s="6"/>
      <c r="W13" s="6"/>
      <c r="X13" s="15"/>
      <c r="Y13" s="2"/>
      <c r="Z13" s="2"/>
      <c r="AA13" s="2"/>
      <c r="AB13" s="2"/>
      <c r="AC13" s="2"/>
      <c r="AD13" s="2"/>
    </row>
    <row r="14" spans="1:30" ht="15.6" x14ac:dyDescent="0.3">
      <c r="A14" s="4">
        <v>7</v>
      </c>
      <c r="B14" s="5" t="s">
        <v>7</v>
      </c>
      <c r="C14" s="24">
        <v>100</v>
      </c>
      <c r="D14" s="5"/>
      <c r="E14" s="6"/>
      <c r="F14" s="15"/>
      <c r="G14" s="6"/>
      <c r="H14" s="6"/>
      <c r="I14" s="15"/>
      <c r="J14" s="6"/>
      <c r="K14" s="6"/>
      <c r="L14" s="15"/>
      <c r="M14" s="6"/>
      <c r="N14" s="6"/>
      <c r="O14" s="15"/>
      <c r="P14" s="6"/>
      <c r="Q14" s="6"/>
      <c r="R14" s="15"/>
      <c r="S14" s="6"/>
      <c r="T14" s="6"/>
      <c r="U14" s="15"/>
      <c r="V14" s="6"/>
      <c r="W14" s="6"/>
      <c r="X14" s="15"/>
      <c r="Y14" s="2"/>
      <c r="Z14" s="2"/>
      <c r="AA14" s="2"/>
      <c r="AB14" s="2"/>
      <c r="AC14" s="2"/>
      <c r="AD14" s="2"/>
    </row>
    <row r="15" spans="1:30" ht="15.6" x14ac:dyDescent="0.3">
      <c r="A15" s="4">
        <v>8</v>
      </c>
      <c r="B15" s="5" t="s">
        <v>8</v>
      </c>
      <c r="C15" s="24">
        <v>60</v>
      </c>
      <c r="D15" s="5"/>
      <c r="E15" s="6"/>
      <c r="F15" s="15"/>
      <c r="G15" s="6"/>
      <c r="H15" s="6"/>
      <c r="I15" s="15"/>
      <c r="J15" s="6"/>
      <c r="K15" s="6"/>
      <c r="L15" s="15"/>
      <c r="M15" s="6"/>
      <c r="N15" s="6"/>
      <c r="O15" s="15"/>
      <c r="P15" s="6"/>
      <c r="Q15" s="6"/>
      <c r="R15" s="15"/>
      <c r="S15" s="6"/>
      <c r="T15" s="6"/>
      <c r="U15" s="15"/>
      <c r="V15" s="6"/>
      <c r="W15" s="6"/>
      <c r="X15" s="15"/>
      <c r="Y15" s="2"/>
      <c r="Z15" s="2"/>
      <c r="AA15" s="2"/>
      <c r="AB15" s="2"/>
      <c r="AC15" s="2"/>
      <c r="AD15" s="2"/>
    </row>
    <row r="16" spans="1:30" ht="15.6" x14ac:dyDescent="0.3">
      <c r="A16" s="4">
        <v>9</v>
      </c>
      <c r="B16" s="5" t="s">
        <v>9</v>
      </c>
      <c r="C16" s="24">
        <v>200</v>
      </c>
      <c r="D16" s="5"/>
      <c r="E16" s="6"/>
      <c r="F16" s="15"/>
      <c r="G16" s="6"/>
      <c r="H16" s="6"/>
      <c r="I16" s="15"/>
      <c r="J16" s="6"/>
      <c r="K16" s="6"/>
      <c r="L16" s="15"/>
      <c r="M16" s="6"/>
      <c r="N16" s="6"/>
      <c r="O16" s="15"/>
      <c r="P16" s="6"/>
      <c r="Q16" s="6"/>
      <c r="R16" s="15"/>
      <c r="S16" s="6"/>
      <c r="T16" s="6"/>
      <c r="U16" s="15"/>
      <c r="V16" s="6"/>
      <c r="W16" s="6"/>
      <c r="X16" s="15"/>
      <c r="Y16" s="2"/>
      <c r="Z16" s="2"/>
      <c r="AA16" s="2"/>
      <c r="AB16" s="2"/>
      <c r="AC16" s="2"/>
      <c r="AD16" s="2"/>
    </row>
    <row r="17" spans="2:30" ht="15.6" x14ac:dyDescent="0.3">
      <c r="B17" s="1" t="s">
        <v>10</v>
      </c>
      <c r="C17" s="17">
        <f>SUM(C8:C16)</f>
        <v>1650</v>
      </c>
      <c r="D17" s="2"/>
      <c r="E17" s="1" t="s">
        <v>10</v>
      </c>
      <c r="F17" s="14">
        <f>SUM(F8:F16)</f>
        <v>50</v>
      </c>
      <c r="G17" s="2"/>
      <c r="H17" s="1" t="s">
        <v>10</v>
      </c>
      <c r="I17" s="14">
        <f>SUM(I8:I16)</f>
        <v>650</v>
      </c>
      <c r="J17" s="2"/>
      <c r="K17" s="1" t="s">
        <v>10</v>
      </c>
      <c r="L17" s="14">
        <f>SUM(L8:L16)</f>
        <v>270</v>
      </c>
      <c r="M17" s="2"/>
      <c r="N17" s="1" t="s">
        <v>10</v>
      </c>
      <c r="O17" s="14">
        <f>SUM(O8:O16)</f>
        <v>80</v>
      </c>
      <c r="P17" s="2"/>
      <c r="Q17" s="1" t="s">
        <v>10</v>
      </c>
      <c r="R17" s="14">
        <f>SUM(R8:R16)</f>
        <v>1000</v>
      </c>
      <c r="S17" s="2"/>
      <c r="T17" s="1" t="s">
        <v>10</v>
      </c>
      <c r="U17" s="14">
        <f>SUM(U8:U16)</f>
        <v>50</v>
      </c>
      <c r="V17" s="2"/>
      <c r="W17" s="1" t="s">
        <v>10</v>
      </c>
      <c r="X17" s="14">
        <f>SUM(X8:X16)</f>
        <v>100</v>
      </c>
      <c r="Y17" s="2"/>
      <c r="Z17" s="2"/>
      <c r="AA17" s="2"/>
      <c r="AB17" s="2"/>
      <c r="AC17" s="2"/>
      <c r="AD17" s="2"/>
    </row>
    <row r="40" spans="2:2" x14ac:dyDescent="0.3">
      <c r="B40" s="3"/>
    </row>
  </sheetData>
  <mergeCells count="17">
    <mergeCell ref="S7:U7"/>
    <mergeCell ref="V7:X7"/>
    <mergeCell ref="A1:X1"/>
    <mergeCell ref="A7:C7"/>
    <mergeCell ref="D7:F7"/>
    <mergeCell ref="G7:I7"/>
    <mergeCell ref="J7:L7"/>
    <mergeCell ref="M7:O7"/>
    <mergeCell ref="P7:R7"/>
    <mergeCell ref="A6:C6"/>
    <mergeCell ref="D6:F6"/>
    <mergeCell ref="G6:I6"/>
    <mergeCell ref="J6:L6"/>
    <mergeCell ref="M6:O6"/>
    <mergeCell ref="P6:R6"/>
    <mergeCell ref="S6:U6"/>
    <mergeCell ref="V6:X6"/>
  </mergeCells>
  <conditionalFormatting sqref="C4">
    <cfRule type="cellIs" dxfId="3" priority="1" operator="lessThanOrEqual">
      <formula>0</formula>
    </cfRule>
    <cfRule type="cellIs" dxfId="2" priority="2" operator="greaterThanOr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40"/>
  <sheetViews>
    <sheetView zoomScale="70" zoomScaleNormal="70" workbookViewId="0">
      <selection sqref="A1:X1"/>
    </sheetView>
  </sheetViews>
  <sheetFormatPr defaultRowHeight="14.4" x14ac:dyDescent="0.3"/>
  <cols>
    <col min="2" max="2" width="30.109375" bestFit="1" customWidth="1"/>
    <col min="3" max="3" width="13" bestFit="1" customWidth="1"/>
    <col min="5" max="5" width="17.77734375" bestFit="1" customWidth="1"/>
    <col min="6" max="6" width="10.5546875" bestFit="1" customWidth="1"/>
    <col min="8" max="8" width="15.77734375" bestFit="1" customWidth="1"/>
    <col min="9" max="9" width="10.5546875" bestFit="1" customWidth="1"/>
    <col min="11" max="11" width="19.6640625" bestFit="1" customWidth="1"/>
    <col min="12" max="12" width="10.5546875" bestFit="1" customWidth="1"/>
    <col min="14" max="14" width="15.109375" bestFit="1" customWidth="1"/>
    <col min="15" max="15" width="10.5546875" bestFit="1" customWidth="1"/>
    <col min="17" max="17" width="27.6640625" bestFit="1" customWidth="1"/>
    <col min="18" max="18" width="13" bestFit="1" customWidth="1"/>
    <col min="20" max="20" width="15.109375" bestFit="1" customWidth="1"/>
    <col min="21" max="21" width="10.5546875" bestFit="1" customWidth="1"/>
    <col min="23" max="23" width="15" bestFit="1" customWidth="1"/>
    <col min="24" max="24" width="10.5546875" bestFit="1" customWidth="1"/>
  </cols>
  <sheetData>
    <row r="1" spans="1:30" ht="28.8" thickBot="1" x14ac:dyDescent="0.55000000000000004">
      <c r="A1" s="9" t="s">
        <v>47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30" ht="15" thickBot="1" x14ac:dyDescent="0.35">
      <c r="B2" s="19" t="s">
        <v>37</v>
      </c>
      <c r="C2" s="21">
        <v>5500</v>
      </c>
    </row>
    <row r="3" spans="1:30" ht="15" thickBot="1" x14ac:dyDescent="0.35">
      <c r="B3" s="19" t="s">
        <v>38</v>
      </c>
      <c r="C3" s="22">
        <f>SUM(C17,F17,I17,L17,O17,R17,U17,X17)</f>
        <v>3990</v>
      </c>
    </row>
    <row r="4" spans="1:30" ht="15" thickBot="1" x14ac:dyDescent="0.35">
      <c r="B4" s="20" t="s">
        <v>39</v>
      </c>
      <c r="C4" s="23">
        <f>C2-C3</f>
        <v>1510</v>
      </c>
    </row>
    <row r="6" spans="1:30" ht="15.6" x14ac:dyDescent="0.3">
      <c r="A6" s="10" t="s">
        <v>0</v>
      </c>
      <c r="B6" s="10"/>
      <c r="C6" s="10"/>
      <c r="D6" s="11" t="s">
        <v>11</v>
      </c>
      <c r="E6" s="11"/>
      <c r="F6" s="11"/>
      <c r="G6" s="12" t="s">
        <v>20</v>
      </c>
      <c r="H6" s="12"/>
      <c r="I6" s="12"/>
      <c r="J6" s="13" t="s">
        <v>21</v>
      </c>
      <c r="K6" s="13"/>
      <c r="L6" s="13"/>
      <c r="M6" s="10" t="s">
        <v>25</v>
      </c>
      <c r="N6" s="10"/>
      <c r="O6" s="10"/>
      <c r="P6" s="13" t="s">
        <v>28</v>
      </c>
      <c r="Q6" s="13"/>
      <c r="R6" s="13"/>
      <c r="S6" s="10" t="s">
        <v>31</v>
      </c>
      <c r="T6" s="10"/>
      <c r="U6" s="10"/>
      <c r="V6" s="13" t="s">
        <v>34</v>
      </c>
      <c r="W6" s="13"/>
      <c r="X6" s="13"/>
      <c r="Y6" s="2"/>
      <c r="Z6" s="2"/>
      <c r="AA6" s="2"/>
      <c r="AB6" s="2"/>
      <c r="AC6" s="2"/>
      <c r="AD6" s="2"/>
    </row>
    <row r="7" spans="1:30" ht="15.6" x14ac:dyDescent="0.3">
      <c r="A7" s="7" t="s">
        <v>36</v>
      </c>
      <c r="B7" s="7"/>
      <c r="C7" s="7"/>
      <c r="D7" s="8" t="s">
        <v>36</v>
      </c>
      <c r="E7" s="8"/>
      <c r="F7" s="8"/>
      <c r="G7" s="7" t="s">
        <v>36</v>
      </c>
      <c r="H7" s="7"/>
      <c r="I7" s="7"/>
      <c r="J7" s="8" t="s">
        <v>36</v>
      </c>
      <c r="K7" s="8"/>
      <c r="L7" s="8"/>
      <c r="M7" s="7" t="s">
        <v>36</v>
      </c>
      <c r="N7" s="7"/>
      <c r="O7" s="7"/>
      <c r="P7" s="8" t="s">
        <v>36</v>
      </c>
      <c r="Q7" s="8"/>
      <c r="R7" s="8"/>
      <c r="S7" s="7" t="s">
        <v>36</v>
      </c>
      <c r="T7" s="7"/>
      <c r="U7" s="7"/>
      <c r="V7" s="8" t="s">
        <v>36</v>
      </c>
      <c r="W7" s="8"/>
      <c r="X7" s="8"/>
      <c r="Y7" s="2"/>
      <c r="Z7" s="2"/>
      <c r="AA7" s="2"/>
      <c r="AB7" s="2"/>
      <c r="AC7" s="2"/>
      <c r="AD7" s="2"/>
    </row>
    <row r="8" spans="1:30" ht="15.6" x14ac:dyDescent="0.3">
      <c r="A8" s="4">
        <v>1</v>
      </c>
      <c r="B8" s="5" t="s">
        <v>1</v>
      </c>
      <c r="C8" s="16">
        <v>900</v>
      </c>
      <c r="D8" s="4">
        <v>1</v>
      </c>
      <c r="E8" s="6" t="s">
        <v>12</v>
      </c>
      <c r="F8" s="15">
        <v>120</v>
      </c>
      <c r="G8" s="4">
        <v>1</v>
      </c>
      <c r="H8" s="6" t="s">
        <v>17</v>
      </c>
      <c r="I8" s="15">
        <v>550</v>
      </c>
      <c r="J8" s="4">
        <v>1</v>
      </c>
      <c r="K8" s="6" t="s">
        <v>22</v>
      </c>
      <c r="L8" s="15"/>
      <c r="M8" s="6">
        <v>1</v>
      </c>
      <c r="N8" s="6" t="s">
        <v>26</v>
      </c>
      <c r="O8" s="15">
        <v>40</v>
      </c>
      <c r="P8" s="6">
        <v>1</v>
      </c>
      <c r="Q8" s="6" t="s">
        <v>29</v>
      </c>
      <c r="R8" s="15">
        <v>1000</v>
      </c>
      <c r="S8" s="6">
        <v>1</v>
      </c>
      <c r="T8" s="6" t="s">
        <v>32</v>
      </c>
      <c r="U8" s="15">
        <v>50</v>
      </c>
      <c r="V8" s="6">
        <v>1</v>
      </c>
      <c r="W8" s="6" t="s">
        <v>35</v>
      </c>
      <c r="X8" s="15">
        <v>100</v>
      </c>
      <c r="Y8" s="2"/>
      <c r="Z8" s="2"/>
      <c r="AA8" s="2"/>
      <c r="AB8" s="2"/>
      <c r="AC8" s="2"/>
      <c r="AD8" s="2"/>
    </row>
    <row r="9" spans="1:30" ht="15.6" x14ac:dyDescent="0.3">
      <c r="A9" s="4">
        <v>2</v>
      </c>
      <c r="B9" s="5" t="s">
        <v>2</v>
      </c>
      <c r="C9" s="16">
        <v>0</v>
      </c>
      <c r="D9" s="4">
        <v>2</v>
      </c>
      <c r="E9" s="6" t="s">
        <v>13</v>
      </c>
      <c r="F9" s="15"/>
      <c r="G9" s="4">
        <v>2</v>
      </c>
      <c r="H9" s="6" t="s">
        <v>18</v>
      </c>
      <c r="I9" s="15">
        <v>150</v>
      </c>
      <c r="J9" s="4">
        <v>2</v>
      </c>
      <c r="K9" s="6" t="s">
        <v>23</v>
      </c>
      <c r="L9" s="15">
        <v>270</v>
      </c>
      <c r="M9" s="6">
        <v>2</v>
      </c>
      <c r="N9" s="6" t="s">
        <v>27</v>
      </c>
      <c r="O9" s="15">
        <v>60</v>
      </c>
      <c r="P9" s="6">
        <v>2</v>
      </c>
      <c r="Q9" s="6" t="s">
        <v>30</v>
      </c>
      <c r="R9" s="15">
        <v>0</v>
      </c>
      <c r="S9" s="6">
        <v>2</v>
      </c>
      <c r="T9" s="6" t="s">
        <v>33</v>
      </c>
      <c r="U9" s="15"/>
      <c r="V9" s="6"/>
      <c r="W9" s="6"/>
      <c r="X9" s="15"/>
      <c r="Y9" s="2"/>
      <c r="Z9" s="2"/>
      <c r="AA9" s="2"/>
      <c r="AB9" s="2"/>
      <c r="AC9" s="2"/>
      <c r="AD9" s="2"/>
    </row>
    <row r="10" spans="1:30" ht="15.6" x14ac:dyDescent="0.3">
      <c r="A10" s="4">
        <v>3</v>
      </c>
      <c r="B10" s="5" t="s">
        <v>3</v>
      </c>
      <c r="C10" s="16">
        <v>80</v>
      </c>
      <c r="D10" s="4">
        <v>3</v>
      </c>
      <c r="E10" s="6" t="s">
        <v>14</v>
      </c>
      <c r="F10" s="15"/>
      <c r="G10" s="4">
        <v>3</v>
      </c>
      <c r="H10" s="6" t="s">
        <v>19</v>
      </c>
      <c r="I10" s="15"/>
      <c r="J10" s="4">
        <v>3</v>
      </c>
      <c r="K10" s="6" t="s">
        <v>24</v>
      </c>
      <c r="L10" s="15"/>
      <c r="M10" s="6"/>
      <c r="N10" s="6"/>
      <c r="O10" s="15"/>
      <c r="P10" s="6"/>
      <c r="Q10" s="6"/>
      <c r="R10" s="15"/>
      <c r="S10" s="6"/>
      <c r="T10" s="6"/>
      <c r="U10" s="15"/>
      <c r="V10" s="6"/>
      <c r="W10" s="6"/>
      <c r="X10" s="15"/>
      <c r="Y10" s="2"/>
      <c r="Z10" s="2"/>
      <c r="AA10" s="2"/>
      <c r="AB10" s="2"/>
      <c r="AC10" s="2"/>
      <c r="AD10" s="2"/>
    </row>
    <row r="11" spans="1:30" ht="15.6" x14ac:dyDescent="0.3">
      <c r="A11" s="4">
        <v>4</v>
      </c>
      <c r="B11" s="5" t="s">
        <v>4</v>
      </c>
      <c r="C11" s="16">
        <v>120</v>
      </c>
      <c r="D11" s="4">
        <v>4</v>
      </c>
      <c r="E11" s="6" t="s">
        <v>15</v>
      </c>
      <c r="F11" s="15"/>
      <c r="G11" s="6"/>
      <c r="H11" s="6"/>
      <c r="I11" s="15"/>
      <c r="J11" s="6"/>
      <c r="K11" s="6"/>
      <c r="L11" s="15"/>
      <c r="M11" s="6"/>
      <c r="N11" s="6"/>
      <c r="O11" s="15"/>
      <c r="P11" s="6"/>
      <c r="Q11" s="6"/>
      <c r="R11" s="15"/>
      <c r="S11" s="6"/>
      <c r="T11" s="6"/>
      <c r="U11" s="15"/>
      <c r="V11" s="6"/>
      <c r="W11" s="6"/>
      <c r="X11" s="15"/>
      <c r="Y11" s="2"/>
      <c r="Z11" s="2"/>
      <c r="AA11" s="2"/>
      <c r="AB11" s="2"/>
      <c r="AC11" s="2"/>
      <c r="AD11" s="2"/>
    </row>
    <row r="12" spans="1:30" ht="15.6" x14ac:dyDescent="0.3">
      <c r="A12" s="4">
        <v>5</v>
      </c>
      <c r="B12" s="5" t="s">
        <v>5</v>
      </c>
      <c r="C12" s="16">
        <v>110</v>
      </c>
      <c r="D12" s="4">
        <v>5</v>
      </c>
      <c r="E12" s="6" t="s">
        <v>16</v>
      </c>
      <c r="F12" s="15"/>
      <c r="G12" s="6"/>
      <c r="H12" s="6"/>
      <c r="I12" s="15"/>
      <c r="J12" s="6"/>
      <c r="K12" s="6"/>
      <c r="L12" s="15"/>
      <c r="M12" s="6"/>
      <c r="N12" s="6"/>
      <c r="O12" s="15"/>
      <c r="P12" s="6"/>
      <c r="Q12" s="6"/>
      <c r="R12" s="15"/>
      <c r="S12" s="6"/>
      <c r="T12" s="6"/>
      <c r="U12" s="15"/>
      <c r="V12" s="6"/>
      <c r="W12" s="6"/>
      <c r="X12" s="15"/>
      <c r="Y12" s="2"/>
      <c r="Z12" s="2"/>
      <c r="AA12" s="2"/>
      <c r="AB12" s="2"/>
      <c r="AC12" s="2"/>
      <c r="AD12" s="2"/>
    </row>
    <row r="13" spans="1:30" ht="15.6" x14ac:dyDescent="0.3">
      <c r="A13" s="4">
        <v>6</v>
      </c>
      <c r="B13" s="5" t="s">
        <v>6</v>
      </c>
      <c r="C13" s="16">
        <v>80</v>
      </c>
      <c r="D13" s="5"/>
      <c r="E13" s="6"/>
      <c r="F13" s="15"/>
      <c r="G13" s="6"/>
      <c r="H13" s="6"/>
      <c r="I13" s="15"/>
      <c r="J13" s="6"/>
      <c r="K13" s="6"/>
      <c r="L13" s="15"/>
      <c r="M13" s="6"/>
      <c r="N13" s="6"/>
      <c r="O13" s="15"/>
      <c r="P13" s="6"/>
      <c r="Q13" s="6"/>
      <c r="R13" s="15"/>
      <c r="S13" s="6"/>
      <c r="T13" s="6"/>
      <c r="U13" s="15"/>
      <c r="V13" s="6"/>
      <c r="W13" s="6"/>
      <c r="X13" s="15"/>
      <c r="Y13" s="2"/>
      <c r="Z13" s="2"/>
      <c r="AA13" s="2"/>
      <c r="AB13" s="2"/>
      <c r="AC13" s="2"/>
      <c r="AD13" s="2"/>
    </row>
    <row r="14" spans="1:30" ht="15.6" x14ac:dyDescent="0.3">
      <c r="A14" s="4">
        <v>7</v>
      </c>
      <c r="B14" s="5" t="s">
        <v>7</v>
      </c>
      <c r="C14" s="16">
        <v>100</v>
      </c>
      <c r="D14" s="5"/>
      <c r="E14" s="6"/>
      <c r="F14" s="15"/>
      <c r="G14" s="6"/>
      <c r="H14" s="6"/>
      <c r="I14" s="15"/>
      <c r="J14" s="6"/>
      <c r="K14" s="6"/>
      <c r="L14" s="15"/>
      <c r="M14" s="6"/>
      <c r="N14" s="6"/>
      <c r="O14" s="15"/>
      <c r="P14" s="6"/>
      <c r="Q14" s="6"/>
      <c r="R14" s="15"/>
      <c r="S14" s="6"/>
      <c r="T14" s="6"/>
      <c r="U14" s="15"/>
      <c r="V14" s="6"/>
      <c r="W14" s="6"/>
      <c r="X14" s="15"/>
      <c r="Y14" s="2"/>
      <c r="Z14" s="2"/>
      <c r="AA14" s="2"/>
      <c r="AB14" s="2"/>
      <c r="AC14" s="2"/>
      <c r="AD14" s="2"/>
    </row>
    <row r="15" spans="1:30" ht="15.6" x14ac:dyDescent="0.3">
      <c r="A15" s="4">
        <v>8</v>
      </c>
      <c r="B15" s="5" t="s">
        <v>8</v>
      </c>
      <c r="C15" s="16">
        <v>60</v>
      </c>
      <c r="D15" s="5"/>
      <c r="E15" s="6"/>
      <c r="F15" s="15"/>
      <c r="G15" s="6"/>
      <c r="H15" s="6"/>
      <c r="I15" s="15"/>
      <c r="J15" s="6"/>
      <c r="K15" s="6"/>
      <c r="L15" s="15"/>
      <c r="M15" s="6"/>
      <c r="N15" s="6"/>
      <c r="O15" s="15"/>
      <c r="P15" s="6"/>
      <c r="Q15" s="6"/>
      <c r="R15" s="15"/>
      <c r="S15" s="6"/>
      <c r="T15" s="6"/>
      <c r="U15" s="15"/>
      <c r="V15" s="6"/>
      <c r="W15" s="6"/>
      <c r="X15" s="15"/>
      <c r="Y15" s="2"/>
      <c r="Z15" s="2"/>
      <c r="AA15" s="2"/>
      <c r="AB15" s="2"/>
      <c r="AC15" s="2"/>
      <c r="AD15" s="2"/>
    </row>
    <row r="16" spans="1:30" ht="15.6" x14ac:dyDescent="0.3">
      <c r="A16" s="4">
        <v>9</v>
      </c>
      <c r="B16" s="5" t="s">
        <v>9</v>
      </c>
      <c r="C16" s="16">
        <v>200</v>
      </c>
      <c r="D16" s="5"/>
      <c r="E16" s="6"/>
      <c r="F16" s="15"/>
      <c r="G16" s="6"/>
      <c r="H16" s="6"/>
      <c r="I16" s="15"/>
      <c r="J16" s="6"/>
      <c r="K16" s="6"/>
      <c r="L16" s="15"/>
      <c r="M16" s="6"/>
      <c r="N16" s="6"/>
      <c r="O16" s="15"/>
      <c r="P16" s="6"/>
      <c r="Q16" s="6"/>
      <c r="R16" s="15"/>
      <c r="S16" s="6"/>
      <c r="T16" s="6"/>
      <c r="U16" s="15"/>
      <c r="V16" s="6"/>
      <c r="W16" s="6"/>
      <c r="X16" s="15"/>
      <c r="Y16" s="2"/>
      <c r="Z16" s="2"/>
      <c r="AA16" s="2"/>
      <c r="AB16" s="2"/>
      <c r="AC16" s="2"/>
      <c r="AD16" s="2"/>
    </row>
    <row r="17" spans="2:30" ht="15.6" x14ac:dyDescent="0.3">
      <c r="B17" s="1" t="s">
        <v>10</v>
      </c>
      <c r="C17" s="17">
        <f>SUM(C8:C16)</f>
        <v>1650</v>
      </c>
      <c r="D17" s="2"/>
      <c r="E17" s="1" t="s">
        <v>10</v>
      </c>
      <c r="F17" s="14">
        <f>SUM(F8:F16)</f>
        <v>120</v>
      </c>
      <c r="G17" s="2"/>
      <c r="H17" s="1" t="s">
        <v>10</v>
      </c>
      <c r="I17" s="14">
        <f>SUM(I8:I16)</f>
        <v>700</v>
      </c>
      <c r="J17" s="2"/>
      <c r="K17" s="1" t="s">
        <v>10</v>
      </c>
      <c r="L17" s="14">
        <f>SUM(L8:L16)</f>
        <v>270</v>
      </c>
      <c r="M17" s="2"/>
      <c r="N17" s="1" t="s">
        <v>10</v>
      </c>
      <c r="O17" s="14">
        <f>SUM(O8:O16)</f>
        <v>100</v>
      </c>
      <c r="P17" s="2"/>
      <c r="Q17" s="1" t="s">
        <v>10</v>
      </c>
      <c r="R17" s="14">
        <f>SUM(R8:R16)</f>
        <v>1000</v>
      </c>
      <c r="S17" s="2"/>
      <c r="T17" s="1" t="s">
        <v>10</v>
      </c>
      <c r="U17" s="14">
        <f>SUM(U8:U16)</f>
        <v>50</v>
      </c>
      <c r="V17" s="2"/>
      <c r="W17" s="1" t="s">
        <v>10</v>
      </c>
      <c r="X17" s="14">
        <f>SUM(X8:X16)</f>
        <v>100</v>
      </c>
      <c r="Y17" s="2"/>
      <c r="Z17" s="2"/>
      <c r="AA17" s="2"/>
      <c r="AB17" s="2"/>
      <c r="AC17" s="2"/>
      <c r="AD17" s="2"/>
    </row>
    <row r="40" spans="2:2" x14ac:dyDescent="0.3">
      <c r="B40" s="3"/>
    </row>
  </sheetData>
  <mergeCells count="17">
    <mergeCell ref="S7:U7"/>
    <mergeCell ref="V7:X7"/>
    <mergeCell ref="A1:X1"/>
    <mergeCell ref="A7:C7"/>
    <mergeCell ref="D7:F7"/>
    <mergeCell ref="G7:I7"/>
    <mergeCell ref="J7:L7"/>
    <mergeCell ref="M7:O7"/>
    <mergeCell ref="P7:R7"/>
    <mergeCell ref="A6:C6"/>
    <mergeCell ref="D6:F6"/>
    <mergeCell ref="G6:I6"/>
    <mergeCell ref="J6:L6"/>
    <mergeCell ref="M6:O6"/>
    <mergeCell ref="P6:R6"/>
    <mergeCell ref="S6:U6"/>
    <mergeCell ref="V6:X6"/>
  </mergeCells>
  <conditionalFormatting sqref="C4">
    <cfRule type="cellIs" dxfId="1" priority="1" operator="lessThanOrEqual">
      <formula>0</formula>
    </cfRule>
    <cfRule type="cellIs" dxfId="0" priority="2" operator="greaterThanOr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B18" sqref="B18"/>
    </sheetView>
  </sheetViews>
  <sheetFormatPr defaultRowHeight="14.4" x14ac:dyDescent="0.3"/>
  <cols>
    <col min="1" max="1" width="17.109375" customWidth="1"/>
    <col min="2" max="2" width="12.44140625" bestFit="1" customWidth="1"/>
    <col min="3" max="3" width="13.6640625" bestFit="1" customWidth="1"/>
    <col min="4" max="4" width="12.44140625" bestFit="1" customWidth="1"/>
    <col min="5" max="5" width="16.77734375" bestFit="1" customWidth="1"/>
    <col min="6" max="6" width="17.88671875" customWidth="1"/>
  </cols>
  <sheetData>
    <row r="1" spans="1:6" ht="15.6" x14ac:dyDescent="0.3">
      <c r="A1" s="27" t="s">
        <v>40</v>
      </c>
      <c r="B1" s="27" t="s">
        <v>41</v>
      </c>
      <c r="C1" s="28" t="s">
        <v>42</v>
      </c>
      <c r="D1" s="29" t="s">
        <v>43</v>
      </c>
      <c r="E1" s="27" t="s">
        <v>45</v>
      </c>
      <c r="F1" s="27" t="s">
        <v>46</v>
      </c>
    </row>
    <row r="2" spans="1:6" ht="15.6" x14ac:dyDescent="0.3">
      <c r="A2" s="30" t="s">
        <v>20</v>
      </c>
      <c r="B2" s="31">
        <f>Orçamento_Janeiro!I17</f>
        <v>850</v>
      </c>
      <c r="C2" s="32">
        <f>Orçamento_Fevereiro!I17</f>
        <v>650</v>
      </c>
      <c r="D2" s="31">
        <f>Orçamento_Março!I17</f>
        <v>700</v>
      </c>
      <c r="E2" s="25">
        <f>SUM(B2:D2)</f>
        <v>2200</v>
      </c>
      <c r="F2" s="31">
        <f>AVERAGE(B2:D2)</f>
        <v>733.33333333333337</v>
      </c>
    </row>
    <row r="3" spans="1:6" ht="15.6" x14ac:dyDescent="0.3">
      <c r="A3" s="30" t="s">
        <v>28</v>
      </c>
      <c r="B3" s="31">
        <f>Orçamento_Janeiro!R17</f>
        <v>1500</v>
      </c>
      <c r="C3" s="31">
        <f>Orçamento_Fevereiro!R17</f>
        <v>1000</v>
      </c>
      <c r="D3" s="33">
        <f>Orçamento_Março!R17</f>
        <v>1000</v>
      </c>
      <c r="E3" s="25">
        <f>SUM(B3:D3)</f>
        <v>3500</v>
      </c>
      <c r="F3" s="31">
        <f>AVERAGE(B3:D3)</f>
        <v>1166.6666666666667</v>
      </c>
    </row>
    <row r="4" spans="1:6" ht="15.6" x14ac:dyDescent="0.3">
      <c r="A4" s="34" t="s">
        <v>44</v>
      </c>
      <c r="B4" s="31">
        <f>Orçamento_Janeiro!X17</f>
        <v>100</v>
      </c>
      <c r="C4" s="35">
        <f>Orçamento_Fevereiro!X17</f>
        <v>100</v>
      </c>
      <c r="D4" s="31">
        <f>Orçamento_Março!X17</f>
        <v>100</v>
      </c>
      <c r="E4" s="25">
        <f>SUM(B4:D4)</f>
        <v>300</v>
      </c>
      <c r="F4" s="31">
        <f>AVERAGE(B4:D4)</f>
        <v>100</v>
      </c>
    </row>
    <row r="5" spans="1:6" ht="15.6" x14ac:dyDescent="0.3">
      <c r="A5" s="34" t="s">
        <v>31</v>
      </c>
      <c r="B5" s="31">
        <f>Orçamento_Janeiro!U17</f>
        <v>150</v>
      </c>
      <c r="C5" s="31">
        <f>Orçamento_Fevereiro!U17</f>
        <v>50</v>
      </c>
      <c r="D5" s="31">
        <f>Orçamento_Março!U17</f>
        <v>50</v>
      </c>
      <c r="E5" s="25">
        <f>SUM(B5:D5)</f>
        <v>250</v>
      </c>
      <c r="F5" s="31">
        <f>AVERAGE(B5:D5)</f>
        <v>83.333333333333329</v>
      </c>
    </row>
    <row r="6" spans="1:6" ht="15.6" x14ac:dyDescent="0.3">
      <c r="A6" s="34" t="s">
        <v>0</v>
      </c>
      <c r="B6" s="31">
        <f>Orçamento_Janeiro!C17</f>
        <v>1650</v>
      </c>
      <c r="C6" s="31">
        <f>Orçamento_Fevereiro!C17</f>
        <v>1650</v>
      </c>
      <c r="D6" s="31">
        <f>Orçamento_Março!C17</f>
        <v>1650</v>
      </c>
      <c r="E6" s="25">
        <f>SUM(B6:D6)</f>
        <v>4950</v>
      </c>
      <c r="F6" s="31">
        <f>AVERAGE(B6:D6)</f>
        <v>1650</v>
      </c>
    </row>
    <row r="7" spans="1:6" ht="15.6" x14ac:dyDescent="0.3">
      <c r="A7" s="30" t="s">
        <v>11</v>
      </c>
      <c r="B7" s="36">
        <f>Orçamento_Janeiro!F17</f>
        <v>200</v>
      </c>
      <c r="C7" s="31">
        <f>Orçamento_Fevereiro!F17</f>
        <v>50</v>
      </c>
      <c r="D7" s="31">
        <f>Orçamento_Março!F17</f>
        <v>120</v>
      </c>
      <c r="E7" s="25">
        <f>SUM(B7:D7)</f>
        <v>370</v>
      </c>
      <c r="F7" s="31">
        <f>AVERAGE(B7:D7)</f>
        <v>123.33333333333333</v>
      </c>
    </row>
    <row r="8" spans="1:6" ht="15.6" x14ac:dyDescent="0.3">
      <c r="A8" s="34" t="s">
        <v>21</v>
      </c>
      <c r="B8" s="31">
        <f>Orçamento_Janeiro!L17</f>
        <v>270</v>
      </c>
      <c r="C8" s="31">
        <f>Orçamento_Fevereiro!L17</f>
        <v>270</v>
      </c>
      <c r="D8" s="37">
        <f>Orçamento_Março!L17</f>
        <v>270</v>
      </c>
      <c r="E8" s="25">
        <f>SUM(B8:D8)</f>
        <v>810</v>
      </c>
      <c r="F8" s="31">
        <f>AVERAGE(B8:D8)</f>
        <v>270</v>
      </c>
    </row>
    <row r="9" spans="1:6" ht="15.6" x14ac:dyDescent="0.3">
      <c r="A9" s="38" t="s">
        <v>25</v>
      </c>
      <c r="B9" s="33">
        <f>Orçamento_Janeiro!O17</f>
        <v>400</v>
      </c>
      <c r="C9" s="33">
        <f>Orçamento_Fevereiro!O17</f>
        <v>80</v>
      </c>
      <c r="D9" s="37">
        <f>Orçamento_Março!O17</f>
        <v>100</v>
      </c>
      <c r="E9" s="25">
        <f>SUM(B9:D9)</f>
        <v>580</v>
      </c>
      <c r="F9" s="31">
        <f>AVERAGE(B9:D9)</f>
        <v>193.33333333333334</v>
      </c>
    </row>
    <row r="10" spans="1:6" ht="15.6" x14ac:dyDescent="0.3">
      <c r="A10" s="39" t="s">
        <v>45</v>
      </c>
      <c r="B10" s="40">
        <f>SUM(B2:B9)</f>
        <v>5120</v>
      </c>
      <c r="C10" s="41">
        <f>SUM(C2:C9)</f>
        <v>3850</v>
      </c>
      <c r="D10" s="42">
        <f>SUM(D2:D9)</f>
        <v>3990</v>
      </c>
      <c r="E10" s="26">
        <f>SUM(B10:D10)</f>
        <v>12960</v>
      </c>
      <c r="F10" s="40">
        <f>SUM(F2:F9)</f>
        <v>4320</v>
      </c>
    </row>
    <row r="11" spans="1:6" x14ac:dyDescent="0.3">
      <c r="F11" s="18">
        <f>MAX(F2:F9)</f>
        <v>1650</v>
      </c>
    </row>
    <row r="12" spans="1:6" x14ac:dyDescent="0.3">
      <c r="F12" s="18">
        <f>MIN(F2:F9)</f>
        <v>83.333333333333329</v>
      </c>
    </row>
  </sheetData>
  <autoFilter ref="A1:F1"/>
  <sortState ref="A2:F9">
    <sortCondition ref="A2"/>
  </sortState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Orçamento_Janeiro</vt:lpstr>
      <vt:lpstr>Orçamento_Fevereiro</vt:lpstr>
      <vt:lpstr>Orçamento_Março</vt:lpstr>
      <vt:lpstr>Total_Geral_Trimestral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2026-09-16T18:29:10Z</dcterms:created>
  <dcterms:modified xsi:type="dcterms:W3CDTF">2026-09-17T20:56:28Z</dcterms:modified>
</cp:coreProperties>
</file>